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bhagwani/Documents/Research/Gradient Variance Exps/"/>
    </mc:Choice>
  </mc:AlternateContent>
  <xr:revisionPtr revIDLastSave="0" documentId="13_ncr:1_{348B9526-7CF3-3D49-A025-EBF87B3A307B}" xr6:coauthVersionLast="47" xr6:coauthVersionMax="47" xr10:uidLastSave="{00000000-0000-0000-0000-000000000000}"/>
  <bookViews>
    <workbookView xWindow="0" yWindow="0" windowWidth="28800" windowHeight="18000" xr2:uid="{031717F6-5F00-ED42-815B-49D4A08E2B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3" i="1" s="1"/>
  <c r="I10" i="1"/>
  <c r="I11" i="1"/>
  <c r="H13" i="1"/>
  <c r="H12" i="1"/>
  <c r="H11" i="1"/>
  <c r="H2" i="1"/>
  <c r="H3" i="1"/>
  <c r="H4" i="1"/>
  <c r="H5" i="1"/>
  <c r="H6" i="1"/>
  <c r="H7" i="1"/>
  <c r="H8" i="1"/>
  <c r="H9" i="1"/>
  <c r="H10" i="1"/>
  <c r="I12" i="1" l="1"/>
</calcChain>
</file>

<file path=xl/sharedStrings.xml><?xml version="1.0" encoding="utf-8"?>
<sst xmlns="http://schemas.openxmlformats.org/spreadsheetml/2006/main" count="22" uniqueCount="13">
  <si>
    <t>Model</t>
  </si>
  <si>
    <t>Seed</t>
  </si>
  <si>
    <t>#Neurons With Larger Raw Variance</t>
  </si>
  <si>
    <t>#Neurons With Larger Normalized Variance</t>
  </si>
  <si>
    <t>% of Neurons With Larger Normalized Variance</t>
  </si>
  <si>
    <t>Make Moons</t>
  </si>
  <si>
    <t>#Dead Neurons</t>
  </si>
  <si>
    <t>#Neurons in Layer</t>
  </si>
  <si>
    <t>mean</t>
  </si>
  <si>
    <t>#Neurons whose Mean Cosine Similarity is Lower in Overfitted Scenario</t>
  </si>
  <si>
    <t xml:space="preserve">*All values are counted after 200 epochs to make sure the overfitted model is actually overfitted. </t>
  </si>
  <si>
    <t>stdev</t>
  </si>
  <si>
    <t>% of Neurons with Lower Mean Cosine Similarity in Overfitted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</si>
</sst>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0B70-6A5A-664B-A6B5-AA7B5E6E9AEC}">
  <dimension ref="A1:I13"/>
  <sheetViews>
    <sheetView tabSelected="1" topLeftCell="C1" zoomScale="88" workbookViewId="0">
      <selection activeCell="I1" sqref="I1"/>
    </sheetView>
  </sheetViews>
  <sheetFormatPr baseColWidth="10" defaultRowHeight="16" x14ac:dyDescent="0.2"/>
  <cols>
    <col min="3" max="3" width="30.5" customWidth="1"/>
    <col min="4" max="4" width="37" customWidth="1"/>
    <col min="5" max="5" width="14.5" customWidth="1"/>
    <col min="6" max="6" width="17.1640625" customWidth="1"/>
    <col min="7" max="7" width="58" customWidth="1"/>
    <col min="8" max="8" width="38.6640625" customWidth="1"/>
    <col min="9" max="9" width="63.6640625" customWidth="1"/>
    <col min="10" max="10" width="1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9</v>
      </c>
      <c r="H1" t="s">
        <v>4</v>
      </c>
      <c r="I1" t="s">
        <v>12</v>
      </c>
    </row>
    <row r="2" spans="1:9" x14ac:dyDescent="0.2">
      <c r="A2" t="s">
        <v>5</v>
      </c>
      <c r="B2">
        <v>42</v>
      </c>
      <c r="C2">
        <v>100</v>
      </c>
      <c r="D2">
        <v>103</v>
      </c>
      <c r="E2">
        <v>16</v>
      </c>
      <c r="F2">
        <v>128</v>
      </c>
      <c r="G2">
        <v>98</v>
      </c>
      <c r="H2">
        <f>D2/(F2-E2) * 100</f>
        <v>91.964285714285708</v>
      </c>
      <c r="I2">
        <f>G2/(F2-E2) * 100</f>
        <v>87.5</v>
      </c>
    </row>
    <row r="3" spans="1:9" x14ac:dyDescent="0.2">
      <c r="A3" t="s">
        <v>5</v>
      </c>
      <c r="B3">
        <v>7</v>
      </c>
      <c r="C3">
        <v>94</v>
      </c>
      <c r="D3">
        <v>78</v>
      </c>
      <c r="E3">
        <v>26</v>
      </c>
      <c r="F3">
        <v>128</v>
      </c>
      <c r="G3">
        <v>97</v>
      </c>
      <c r="H3">
        <f>D3/(F3-E3) * 100</f>
        <v>76.470588235294116</v>
      </c>
      <c r="I3">
        <f t="shared" ref="I3:I10" si="0">G3/(F3-E3) *100</f>
        <v>95.098039215686271</v>
      </c>
    </row>
    <row r="4" spans="1:9" x14ac:dyDescent="0.2">
      <c r="A4" t="s">
        <v>5</v>
      </c>
      <c r="B4">
        <v>55</v>
      </c>
      <c r="C4">
        <v>98</v>
      </c>
      <c r="D4">
        <v>109</v>
      </c>
      <c r="E4">
        <v>16</v>
      </c>
      <c r="F4">
        <v>128</v>
      </c>
      <c r="G4">
        <v>107</v>
      </c>
      <c r="H4">
        <f>D4/(128-E4) * 100</f>
        <v>97.321428571428569</v>
      </c>
      <c r="I4">
        <f t="shared" si="0"/>
        <v>95.535714285714292</v>
      </c>
    </row>
    <row r="5" spans="1:9" x14ac:dyDescent="0.2">
      <c r="A5" t="s">
        <v>5</v>
      </c>
      <c r="B5">
        <v>69</v>
      </c>
      <c r="C5">
        <v>94</v>
      </c>
      <c r="D5">
        <v>95</v>
      </c>
      <c r="E5">
        <v>20</v>
      </c>
      <c r="F5">
        <v>128</v>
      </c>
      <c r="G5">
        <v>106</v>
      </c>
      <c r="H5">
        <f>D5/(128-E5) * 100</f>
        <v>87.962962962962962</v>
      </c>
      <c r="I5">
        <f t="shared" si="0"/>
        <v>98.148148148148152</v>
      </c>
    </row>
    <row r="6" spans="1:9" x14ac:dyDescent="0.2">
      <c r="A6" t="s">
        <v>5</v>
      </c>
      <c r="B6">
        <v>67</v>
      </c>
      <c r="C6">
        <v>97</v>
      </c>
      <c r="D6">
        <v>98</v>
      </c>
      <c r="E6">
        <v>14</v>
      </c>
      <c r="F6">
        <v>128</v>
      </c>
      <c r="G6">
        <v>111</v>
      </c>
      <c r="H6">
        <f>D6/(128-E6) * 100</f>
        <v>85.964912280701753</v>
      </c>
      <c r="I6">
        <f t="shared" si="0"/>
        <v>97.368421052631575</v>
      </c>
    </row>
    <row r="7" spans="1:9" x14ac:dyDescent="0.2">
      <c r="A7" t="s">
        <v>5</v>
      </c>
      <c r="B7">
        <v>75</v>
      </c>
      <c r="C7">
        <v>101</v>
      </c>
      <c r="D7">
        <v>94</v>
      </c>
      <c r="E7">
        <v>12</v>
      </c>
      <c r="F7">
        <v>128</v>
      </c>
      <c r="G7">
        <v>114</v>
      </c>
      <c r="H7">
        <f>D7/(128-E7) * 100</f>
        <v>81.034482758620683</v>
      </c>
      <c r="I7">
        <f t="shared" si="0"/>
        <v>98.275862068965509</v>
      </c>
    </row>
    <row r="8" spans="1:9" x14ac:dyDescent="0.2">
      <c r="A8" t="s">
        <v>5</v>
      </c>
      <c r="B8">
        <v>126</v>
      </c>
      <c r="C8">
        <v>105</v>
      </c>
      <c r="D8">
        <v>96</v>
      </c>
      <c r="E8">
        <v>15</v>
      </c>
      <c r="F8">
        <v>128</v>
      </c>
      <c r="G8">
        <v>110</v>
      </c>
      <c r="H8">
        <f>D8/(128-E8) * 100</f>
        <v>84.955752212389385</v>
      </c>
      <c r="I8">
        <f t="shared" si="0"/>
        <v>97.345132743362825</v>
      </c>
    </row>
    <row r="9" spans="1:9" x14ac:dyDescent="0.2">
      <c r="A9" t="s">
        <v>5</v>
      </c>
      <c r="B9">
        <v>11</v>
      </c>
      <c r="C9">
        <v>101</v>
      </c>
      <c r="D9">
        <v>83</v>
      </c>
      <c r="E9">
        <v>20</v>
      </c>
      <c r="F9">
        <v>128</v>
      </c>
      <c r="G9">
        <v>107</v>
      </c>
      <c r="H9">
        <f>D9/(128-E9) * 100</f>
        <v>76.851851851851848</v>
      </c>
      <c r="I9">
        <f t="shared" si="0"/>
        <v>99.074074074074076</v>
      </c>
    </row>
    <row r="10" spans="1:9" x14ac:dyDescent="0.2">
      <c r="A10" t="s">
        <v>5</v>
      </c>
      <c r="B10">
        <v>8</v>
      </c>
      <c r="C10">
        <v>99</v>
      </c>
      <c r="D10">
        <v>97</v>
      </c>
      <c r="E10">
        <v>15</v>
      </c>
      <c r="F10">
        <v>128</v>
      </c>
      <c r="G10">
        <v>100</v>
      </c>
      <c r="H10">
        <f>D10/(128-E10) * 100</f>
        <v>85.840707964601776</v>
      </c>
      <c r="I10">
        <f t="shared" si="0"/>
        <v>88.495575221238937</v>
      </c>
    </row>
    <row r="11" spans="1:9" x14ac:dyDescent="0.2">
      <c r="A11" t="s">
        <v>5</v>
      </c>
      <c r="B11">
        <v>18</v>
      </c>
      <c r="C11">
        <v>102</v>
      </c>
      <c r="D11">
        <v>114</v>
      </c>
      <c r="E11">
        <v>11</v>
      </c>
      <c r="F11">
        <v>128</v>
      </c>
      <c r="G11">
        <v>115</v>
      </c>
      <c r="H11">
        <f>D11/(128-E11) * 100</f>
        <v>97.435897435897431</v>
      </c>
      <c r="I11">
        <f>G11/(F11-E11) *100</f>
        <v>98.290598290598282</v>
      </c>
    </row>
    <row r="12" spans="1:9" x14ac:dyDescent="0.2">
      <c r="G12" t="s">
        <v>8</v>
      </c>
      <c r="H12">
        <f>AVERAGE(H2:H11)</f>
        <v>86.580286998803416</v>
      </c>
      <c r="I12">
        <f>AVERAGE(I2:I11)</f>
        <v>95.513156510041995</v>
      </c>
    </row>
    <row r="13" spans="1:9" x14ac:dyDescent="0.2">
      <c r="A13" t="s">
        <v>10</v>
      </c>
      <c r="G13" t="s">
        <v>11</v>
      </c>
      <c r="H13">
        <f>STDEV(H2:H11)</f>
        <v>7.418331767144684</v>
      </c>
      <c r="I13">
        <f>STDEV(I2:I11)</f>
        <v>4.1552929933272962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Bhagwani</dc:creator>
  <cp:lastModifiedBy>Aditya Bhagwani</cp:lastModifiedBy>
  <dcterms:created xsi:type="dcterms:W3CDTF">2026-06-17T21:17:28Z</dcterms:created>
  <dcterms:modified xsi:type="dcterms:W3CDTF">2026-06-18T01:24:16Z</dcterms:modified>
</cp:coreProperties>
</file>